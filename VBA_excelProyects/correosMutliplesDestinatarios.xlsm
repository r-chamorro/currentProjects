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roger\publicDistribution\VBA_excelProyects\"/>
    </mc:Choice>
  </mc:AlternateContent>
  <xr:revisionPtr revIDLastSave="0" documentId="13_ncr:1_{E11C75D4-2C58-4889-AEEF-98CD488A81CA}" xr6:coauthVersionLast="47" xr6:coauthVersionMax="47" xr10:uidLastSave="{00000000-0000-0000-0000-000000000000}"/>
  <bookViews>
    <workbookView xWindow="810" yWindow="-120" windowWidth="28110" windowHeight="16440" xr2:uid="{E3F80FD0-176B-4C9F-AE85-F297E9462C83}"/>
  </bookViews>
  <sheets>
    <sheet name="Intro" sheetId="4" r:id="rId1"/>
    <sheet name="modelo" sheetId="1" r:id="rId2"/>
    <sheet name="registros" sheetId="2" r:id="rId3"/>
    <sheet name="tablacorrectivo" sheetId="3" r:id="rId4"/>
  </sheets>
  <definedNames>
    <definedName name="cuentas">correos[cuenta]</definedName>
    <definedName name="empleado_id">empleados[ID Persona]</definedName>
    <definedName name="tipo_correctivo">correctivo[Correctivos]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D3" i="3" s="1"/>
  <c r="G3" i="3"/>
  <c r="F3" i="3"/>
  <c r="E3" i="3"/>
  <c r="C3" i="3"/>
</calcChain>
</file>

<file path=xl/sharedStrings.xml><?xml version="1.0" encoding="utf-8"?>
<sst xmlns="http://schemas.openxmlformats.org/spreadsheetml/2006/main" count="82" uniqueCount="80">
  <si>
    <t>cuenta</t>
  </si>
  <si>
    <t>correos</t>
  </si>
  <si>
    <t>cuenta1</t>
  </si>
  <si>
    <t>correo@correo.com, correo2@correo.com</t>
  </si>
  <si>
    <t>cuenta2</t>
  </si>
  <si>
    <t>cuenta3</t>
  </si>
  <si>
    <t>cuenta4</t>
  </si>
  <si>
    <t>cuenta5</t>
  </si>
  <si>
    <t>correo3@correo.com, correo4@correo.com</t>
  </si>
  <si>
    <t>correo4@correo.com, correo5@correo.com</t>
  </si>
  <si>
    <t>correo6@correo.com, correo7@correo.com</t>
  </si>
  <si>
    <t>correo8@correo.com, correo9@correo.com</t>
  </si>
  <si>
    <t>Elija cuenta a Evaluar:</t>
  </si>
  <si>
    <t>ID de la persona:</t>
  </si>
  <si>
    <t>nombre de la Persona:</t>
  </si>
  <si>
    <t>ID Persona</t>
  </si>
  <si>
    <t>Nombre Persona</t>
  </si>
  <si>
    <t>Juan perez</t>
  </si>
  <si>
    <t>Jose Feliciano</t>
  </si>
  <si>
    <t>Pablo Escoba</t>
  </si>
  <si>
    <t>Mahum Paleo</t>
  </si>
  <si>
    <t>Marco Aurelio</t>
  </si>
  <si>
    <t>P001</t>
  </si>
  <si>
    <t>P002</t>
  </si>
  <si>
    <t>P003</t>
  </si>
  <si>
    <t>P004</t>
  </si>
  <si>
    <t>P005</t>
  </si>
  <si>
    <t>ID</t>
  </si>
  <si>
    <t>nombre</t>
  </si>
  <si>
    <t>Tipo de Correctivo</t>
  </si>
  <si>
    <t>Mensaje</t>
  </si>
  <si>
    <t>Fecha</t>
  </si>
  <si>
    <t>Mensaje:</t>
  </si>
  <si>
    <t>Correctivos</t>
  </si>
  <si>
    <t>Verbal</t>
  </si>
  <si>
    <t>Escrito</t>
  </si>
  <si>
    <t>Final</t>
  </si>
  <si>
    <t>Suspension</t>
  </si>
  <si>
    <t>Archivo VBA para Envío de Correos</t>
  </si>
  <si>
    <t>Pestañas y Funcionalidad:</t>
  </si>
  <si>
    <t>Una vez completados estos datos, el usuario puede presionar un botón que ejecuta la macro para enviar el correo.</t>
  </si>
  <si>
    <t>Esta pestaña contiene tres tablas clave que alimentan los valores de las listas desplegables en la pestaña "Modelo".</t>
  </si>
  <si>
    <t>Esta pestaña genera una tabla con la información que será incluida en el cuerpo del correo. Contiene los siguientes campos:</t>
  </si>
  <si>
    <t>Esta tabla será copiada y pegada automáticamente en el cuerpo del correo cuando se ejecute la macro de envío.</t>
  </si>
  <si>
    <t>Proceso Automático:</t>
  </si>
  <si>
    <t>Cuando el usuario selecciona los valores requeridos en la pestaña "Modelo" y presiona el botón para enviar, el siguiente proceso ocurre:</t>
  </si>
  <si>
    <t>3. Crea un correo en Outlook, agregando el mensaje y la tabla en el cuerpo del correo.</t>
  </si>
  <si>
    <t>Este sistema facilita la automatización del envío de correos, evitando errores comunes como la entrada manual de correos o información incorrecta, y reduciendo la cantidad de archivos individuales que requieren mantenimiento, ya que todo está centralizado en un solo archivo Excel.</t>
  </si>
  <si>
    <r>
      <t>1. Pestaña "Modelo"</t>
    </r>
    <r>
      <rPr>
        <sz val="16"/>
        <color theme="0"/>
        <rFont val="Calibri"/>
        <family val="2"/>
      </rPr>
      <t>:</t>
    </r>
  </si>
  <si>
    <r>
      <t>Interfaz del Usuario</t>
    </r>
    <r>
      <rPr>
        <sz val="16"/>
        <color theme="0"/>
        <rFont val="Calibri"/>
        <family val="2"/>
      </rPr>
      <t>: Aquí es donde el usuario interactúa principalmente con el archivo.</t>
    </r>
  </si>
  <si>
    <r>
      <t>Celdas de Selección</t>
    </r>
    <r>
      <rPr>
        <sz val="16"/>
        <color theme="0"/>
        <rFont val="Calibri"/>
        <family val="2"/>
      </rPr>
      <t>:</t>
    </r>
  </si>
  <si>
    <r>
      <t>Cuenta</t>
    </r>
    <r>
      <rPr>
        <sz val="16"/>
        <color theme="0"/>
        <rFont val="Calibri"/>
        <family val="2"/>
      </rPr>
      <t>: Un desplegable que permite seleccionar una cuenta de la lista.</t>
    </r>
  </si>
  <si>
    <r>
      <t>ID de la Persona</t>
    </r>
    <r>
      <rPr>
        <sz val="16"/>
        <color theme="0"/>
        <rFont val="Calibri"/>
        <family val="2"/>
      </rPr>
      <t>: Un desplegable que permite elegir el ID del empleado.</t>
    </r>
  </si>
  <si>
    <r>
      <t>Nombre de la Persona</t>
    </r>
    <r>
      <rPr>
        <sz val="16"/>
        <color theme="0"/>
        <rFont val="Calibri"/>
        <family val="2"/>
      </rPr>
      <t>: Un campo que está formulado para mostrar automáticamente el nombre del empleado una vez seleccionado el ID.</t>
    </r>
  </si>
  <si>
    <r>
      <t>Tipo de Correctivo</t>
    </r>
    <r>
      <rPr>
        <sz val="16"/>
        <color theme="0"/>
        <rFont val="Calibri"/>
        <family val="2"/>
      </rPr>
      <t>: Un desplegable que permite seleccionar el tipo de correctivo (Ejemplo: Escrito, Verbal).</t>
    </r>
  </si>
  <si>
    <r>
      <t>Mensaje</t>
    </r>
    <r>
      <rPr>
        <sz val="16"/>
        <color theme="0"/>
        <rFont val="Calibri"/>
        <family val="2"/>
      </rPr>
      <t>: Un campo donde el usuario puede escribir el mensaje que desea enviar.</t>
    </r>
  </si>
  <si>
    <r>
      <t>Tabla 1 (Empleados)</t>
    </r>
    <r>
      <rPr>
        <sz val="16"/>
        <color theme="0"/>
        <rFont val="Calibri"/>
        <family val="2"/>
      </rPr>
      <t xml:space="preserve">: Contiene el </t>
    </r>
    <r>
      <rPr>
        <b/>
        <sz val="16"/>
        <color theme="0"/>
        <rFont val="Calibri"/>
        <family val="2"/>
      </rPr>
      <t>ID</t>
    </r>
    <r>
      <rPr>
        <sz val="16"/>
        <color theme="0"/>
        <rFont val="Calibri"/>
        <family val="2"/>
      </rPr>
      <t xml:space="preserve"> del empleado y su </t>
    </r>
    <r>
      <rPr>
        <b/>
        <sz val="16"/>
        <color theme="0"/>
        <rFont val="Calibri"/>
        <family val="2"/>
      </rPr>
      <t>Nombre</t>
    </r>
    <r>
      <rPr>
        <sz val="16"/>
        <color theme="0"/>
        <rFont val="Calibri"/>
        <family val="2"/>
      </rPr>
      <t>. Esto se utiliza para hacer coincidir el ID seleccionado con el nombre en la primera pestaña.</t>
    </r>
  </si>
  <si>
    <r>
      <t>Tabla 2 (Cuentas y Correos)</t>
    </r>
    <r>
      <rPr>
        <sz val="16"/>
        <color theme="0"/>
        <rFont val="Calibri"/>
        <family val="2"/>
      </rPr>
      <t xml:space="preserve">: Contiene las </t>
    </r>
    <r>
      <rPr>
        <b/>
        <sz val="16"/>
        <color theme="0"/>
        <rFont val="Calibri"/>
        <family val="2"/>
      </rPr>
      <t>Cuentas</t>
    </r>
    <r>
      <rPr>
        <sz val="16"/>
        <color theme="0"/>
        <rFont val="Calibri"/>
        <family val="2"/>
      </rPr>
      <t xml:space="preserve"> y los correos electrónicos asignados a cada cuenta. Cuando se selecciona una cuenta en la pestaña "Modelo", los correos correspondientes se buscan aquí para ser utilizados en el envío del correo.</t>
    </r>
  </si>
  <si>
    <r>
      <t>Tabla 3 (Correctivos)</t>
    </r>
    <r>
      <rPr>
        <sz val="16"/>
        <color theme="0"/>
        <rFont val="Calibri"/>
        <family val="2"/>
      </rPr>
      <t xml:space="preserve">: Contiene los tipos de </t>
    </r>
    <r>
      <rPr>
        <b/>
        <sz val="16"/>
        <color theme="0"/>
        <rFont val="Calibri"/>
        <family val="2"/>
      </rPr>
      <t>Correctivos</t>
    </r>
    <r>
      <rPr>
        <sz val="16"/>
        <color theme="0"/>
        <rFont val="Calibri"/>
        <family val="2"/>
      </rPr>
      <t xml:space="preserve"> disponibles (Ej. Verbal, Escrito, etc.) que el usuario puede seleccionar en la primera pestaña.</t>
    </r>
  </si>
  <si>
    <r>
      <t>ID de Empleado</t>
    </r>
    <r>
      <rPr>
        <sz val="16"/>
        <color theme="0"/>
        <rFont val="Calibri"/>
        <family val="2"/>
      </rPr>
      <t>: ID del empleado seleccionado.</t>
    </r>
  </si>
  <si>
    <r>
      <t>Nombre del Empleado</t>
    </r>
    <r>
      <rPr>
        <sz val="16"/>
        <color theme="0"/>
        <rFont val="Calibri"/>
        <family val="2"/>
      </rPr>
      <t>: Nombre del empleado.</t>
    </r>
  </si>
  <si>
    <r>
      <t>Tipo de Correctivo</t>
    </r>
    <r>
      <rPr>
        <sz val="16"/>
        <color theme="0"/>
        <rFont val="Calibri"/>
        <family val="2"/>
      </rPr>
      <t>: Tipo de correctivo disciplinario seleccionado.</t>
    </r>
  </si>
  <si>
    <r>
      <t>Mensaje</t>
    </r>
    <r>
      <rPr>
        <sz val="16"/>
        <color theme="0"/>
        <rFont val="Calibri"/>
        <family val="2"/>
      </rPr>
      <t>: El mensaje personalizado escrito por el usuario.</t>
    </r>
  </si>
  <si>
    <r>
      <t>Fecha</t>
    </r>
    <r>
      <rPr>
        <sz val="16"/>
        <color theme="0"/>
        <rFont val="Calibri"/>
        <family val="2"/>
      </rPr>
      <t>: Un campo que permite definir la fecha en la que el correctivo esta teniendo lugar</t>
    </r>
  </si>
  <si>
    <r>
      <t>2. Pestaña "Registros"</t>
    </r>
    <r>
      <rPr>
        <sz val="16"/>
        <color theme="0"/>
        <rFont val="Calibri"/>
        <family val="2"/>
      </rPr>
      <t>:</t>
    </r>
  </si>
  <si>
    <r>
      <t>3. Pestaña "tablacorrectivo"</t>
    </r>
    <r>
      <rPr>
        <sz val="16"/>
        <color theme="0"/>
        <rFont val="Calibri"/>
        <family val="2"/>
      </rPr>
      <t>:</t>
    </r>
  </si>
  <si>
    <r>
      <t>Fecha</t>
    </r>
    <r>
      <rPr>
        <sz val="16"/>
        <color theme="0"/>
        <rFont val="Calibri"/>
        <family val="2"/>
      </rPr>
      <t>: La fecha establecida</t>
    </r>
  </si>
  <si>
    <r>
      <t xml:space="preserve">1. La macro busca los correos asociados a la cuenta seleccionada en la </t>
    </r>
    <r>
      <rPr>
        <b/>
        <sz val="16"/>
        <color theme="0"/>
        <rFont val="Calibri"/>
        <family val="2"/>
      </rPr>
      <t>Correos</t>
    </r>
    <r>
      <rPr>
        <sz val="16"/>
        <color theme="0"/>
        <rFont val="Calibri"/>
        <family val="2"/>
      </rPr>
      <t>.</t>
    </r>
  </si>
  <si>
    <r>
      <t xml:space="preserve">2. La macro toma la información de la </t>
    </r>
    <r>
      <rPr>
        <b/>
        <sz val="16"/>
        <color theme="0"/>
        <rFont val="Calibri"/>
        <family val="2"/>
      </rPr>
      <t>tablacorrectivo</t>
    </r>
    <r>
      <rPr>
        <sz val="16"/>
        <color theme="0"/>
        <rFont val="Calibri"/>
        <family val="2"/>
      </rPr>
      <t>(ID de Empleado, Nombre, Tipo de Correctivo, Fecha y Mensaje).</t>
    </r>
  </si>
  <si>
    <t>4. Finalmente, muestra el correo para revisión y posterior envio</t>
  </si>
  <si>
    <t xml:space="preserve">  5. La macro muestra un mensaje indicando que el proceso ocurrio satisfactoriamente al preparar el correo.</t>
  </si>
  <si>
    <t>RutaArchivo</t>
  </si>
  <si>
    <t>D:\proyecto1\proyecto1BD.xlsx</t>
  </si>
  <si>
    <t>D:\proyecto2\proyecto2BD.xlsx</t>
  </si>
  <si>
    <t>D:\proyecto3\proyecto3BD.xlsx</t>
  </si>
  <si>
    <t>D:\proyecto4\proyecto4BD.xlsx</t>
  </si>
  <si>
    <t>D:\proyecto5\proyecto5BD.xlsx</t>
  </si>
  <si>
    <t>Este archivo en Excel tiene como objetivo automatizar el proceso de envío de correos relacionados con correctivos disciplinarios a los empleados y el registro en los diferentes archivos de seguimiento, simplificando la selección de cuentas y destinatarios, y garantizando la precisión en la información enviada. El archivo se organiza en tres pestañas principales que colaboran para reunir la información y enviarla de manera efectiva a través de Outlook.</t>
  </si>
  <si>
    <t xml:space="preserve">  6. La macro toma los datos de la tabla y los guarda en el archivo de ruta definido en la tabla</t>
  </si>
  <si>
    <t>7. Agregado el nuevo valor se guarda y cierra el archivo y finaliza la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</si>
</sst>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6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8"/>
      <name val="Calibri"/>
      <family val="2"/>
    </font>
    <font>
      <b/>
      <sz val="16"/>
      <color theme="0"/>
      <name val="Calibri"/>
      <family val="2"/>
    </font>
    <font>
      <sz val="16"/>
      <color theme="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quotePrefix="1"/>
    <xf numFmtId="0" fontId="1" fillId="2" borderId="1" xfId="0" applyFont="1" applyFill="1" applyBorder="1"/>
    <xf numFmtId="0" fontId="0" fillId="3" borderId="0" xfId="0" applyFill="1" applyAlignment="1">
      <alignment horizontal="center"/>
    </xf>
    <xf numFmtId="0" fontId="0" fillId="3" borderId="0" xfId="0" quotePrefix="1" applyFill="1" applyAlignment="1">
      <alignment horizontal="center"/>
    </xf>
    <xf numFmtId="14" fontId="0" fillId="3" borderId="0" xfId="0" applyNumberFormat="1" applyFill="1" applyAlignment="1">
      <alignment horizontal="center"/>
    </xf>
    <xf numFmtId="0" fontId="1" fillId="2" borderId="1" xfId="0" applyFont="1" applyFill="1" applyBorder="1" applyAlignment="1">
      <alignment vertical="center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4" borderId="0" xfId="0" applyFont="1" applyFill="1"/>
    <xf numFmtId="0" fontId="4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left" vertical="center" indent="2"/>
    </xf>
    <xf numFmtId="0" fontId="3" fillId="4" borderId="0" xfId="0" applyFont="1" applyFill="1" applyAlignment="1">
      <alignment horizontal="left" vertical="center" indent="3"/>
    </xf>
    <xf numFmtId="0" fontId="4" fillId="4" borderId="0" xfId="0" applyFont="1" applyFill="1" applyAlignment="1">
      <alignment horizontal="left" vertical="center" indent="2"/>
    </xf>
    <xf numFmtId="0" fontId="4" fillId="4" borderId="0" xfId="0" applyFont="1" applyFill="1" applyAlignment="1">
      <alignment horizontal="centerContinuous" vertical="distributed"/>
    </xf>
  </cellXfs>
  <cellStyles count="1">
    <cellStyle name="Normal" xfId="0" builtinId="0"/>
  </cellStyles>
  <dxfs count="7">
    <dxf>
      <numFmt numFmtId="164" formatCode="[$-409]d\-mmm\-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1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66675</xdr:rowOff>
        </xdr:from>
        <xdr:to>
          <xdr:col>7</xdr:col>
          <xdr:colOff>0</xdr:colOff>
          <xdr:row>4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Correctivo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206FAE-EB08-4A72-AFCD-A16CEC23726C}" name="correos" displayName="correos" ref="B2:D7" totalsRowShown="0">
  <autoFilter ref="B2:D7" xr:uid="{16206FAE-EB08-4A72-AFCD-A16CEC23726C}"/>
  <tableColumns count="3">
    <tableColumn id="1" xr3:uid="{13E06A8E-810C-4495-B599-DE749CC85D12}" name="cuenta"/>
    <tableColumn id="2" xr3:uid="{F3659063-3C1D-48BB-B31A-2E141C5789A3}" name="correos"/>
    <tableColumn id="3" xr3:uid="{8D393D18-4B4D-45D4-92DC-A19C3A7FD3AC}" name="RutaArchivo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596AFE-1751-45AD-82E5-048DC8E0660D}" name="empleados" displayName="empleados" ref="G2:H7" totalsRowShown="0">
  <autoFilter ref="G2:H7" xr:uid="{13596AFE-1751-45AD-82E5-048DC8E0660D}"/>
  <tableColumns count="2">
    <tableColumn id="1" xr3:uid="{F3D59B17-77BE-40C4-89AC-66BDFAE2616E}" name="ID Persona"/>
    <tableColumn id="2" xr3:uid="{FC676030-C3B2-46FE-A6EA-C381E6A8223E}" name="Nombre Persona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486D4C-433F-42AC-8203-D9E09F1FCEE6}" name="correctivo" displayName="correctivo" ref="J2:J6" totalsRowShown="0">
  <autoFilter ref="J2:J6" xr:uid="{0B486D4C-433F-42AC-8203-D9E09F1FCEE6}"/>
  <tableColumns count="1">
    <tableColumn id="1" xr3:uid="{9E6BD097-957E-4744-9045-07EA7DBCABF1}" name="Correctivos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877D800-5627-4447-8E4B-C830EBC15868}" name="registrocorrectivo" displayName="registrocorrectivo" ref="C2:G3" totalsRowShown="0" headerRowDxfId="6" dataDxfId="5">
  <autoFilter ref="C2:G3" xr:uid="{7877D800-5627-4447-8E4B-C830EBC15868}"/>
  <tableColumns count="5">
    <tableColumn id="1" xr3:uid="{E8058D96-18BD-461F-9549-26EEF036AB2A}" name="ID" dataDxfId="4">
      <calculatedColumnFormula>modelo!C3</calculatedColumnFormula>
    </tableColumn>
    <tableColumn id="2" xr3:uid="{14A15901-0B2F-4EB3-B4DC-1951B7987908}" name="nombre" dataDxfId="3">
      <calculatedColumnFormula>modelo!C4</calculatedColumnFormula>
    </tableColumn>
    <tableColumn id="3" xr3:uid="{AE755E5C-D741-4BC1-9B27-50C25D6C7D1E}" name="Tipo de Correctivo" dataDxfId="2">
      <calculatedColumnFormula>modelo!C6</calculatedColumnFormula>
    </tableColumn>
    <tableColumn id="4" xr3:uid="{B91C769F-7159-4901-9E51-824B026BFA7D}" name="Mensaje" dataDxfId="1">
      <calculatedColumnFormula>modelo!C7</calculatedColumnFormula>
    </tableColumn>
    <tableColumn id="5" xr3:uid="{08137EB6-9DDE-4E7C-9FF4-568DD38683DC}" name="Fecha" dataDxfId="0">
      <calculatedColumnFormula>modelo!C5</calculatedColumnFormula>
    </tableColumn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D112D-3F7A-4802-A80D-6D4A7972C0BA}">
  <sheetPr codeName="Sheet4"/>
  <dimension ref="B2:AC54"/>
  <sheetViews>
    <sheetView showGridLines="0" showRowColHeaders="0" tabSelected="1" workbookViewId="0">
      <selection activeCell="B51" sqref="B51"/>
    </sheetView>
  </sheetViews>
  <sheetFormatPr defaultRowHeight="21" x14ac:dyDescent="0.35"/>
  <cols>
    <col min="1" max="1" width="9.140625" style="11"/>
    <col min="2" max="2" width="7.42578125" style="11" customWidth="1"/>
    <col min="3" max="16384" width="9.140625" style="11"/>
  </cols>
  <sheetData>
    <row r="2" spans="2:29" x14ac:dyDescent="0.35">
      <c r="B2" s="10" t="s">
        <v>38</v>
      </c>
    </row>
    <row r="4" spans="2:29" ht="46.5" customHeight="1" x14ac:dyDescent="0.35">
      <c r="B4" s="17" t="s">
        <v>77</v>
      </c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</row>
    <row r="5" spans="2:29" x14ac:dyDescent="0.35"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</row>
    <row r="6" spans="2:29" x14ac:dyDescent="0.35">
      <c r="B6" s="10" t="s">
        <v>39</v>
      </c>
    </row>
    <row r="7" spans="2:29" x14ac:dyDescent="0.35">
      <c r="B7" s="12"/>
    </row>
    <row r="8" spans="2:29" x14ac:dyDescent="0.35">
      <c r="B8" s="13" t="s">
        <v>48</v>
      </c>
    </row>
    <row r="9" spans="2:29" x14ac:dyDescent="0.35">
      <c r="B9" s="12"/>
    </row>
    <row r="10" spans="2:29" x14ac:dyDescent="0.35">
      <c r="B10" s="12"/>
    </row>
    <row r="11" spans="2:29" x14ac:dyDescent="0.35">
      <c r="B11" s="14" t="s">
        <v>49</v>
      </c>
    </row>
    <row r="12" spans="2:29" x14ac:dyDescent="0.35">
      <c r="B12" s="14" t="s">
        <v>50</v>
      </c>
    </row>
    <row r="13" spans="2:29" x14ac:dyDescent="0.35">
      <c r="B13" s="15" t="s">
        <v>51</v>
      </c>
    </row>
    <row r="14" spans="2:29" x14ac:dyDescent="0.35">
      <c r="B14" s="15" t="s">
        <v>52</v>
      </c>
    </row>
    <row r="15" spans="2:29" x14ac:dyDescent="0.35">
      <c r="B15" s="15" t="s">
        <v>53</v>
      </c>
    </row>
    <row r="16" spans="2:29" x14ac:dyDescent="0.35">
      <c r="B16" s="15" t="s">
        <v>63</v>
      </c>
    </row>
    <row r="17" spans="2:2" x14ac:dyDescent="0.35">
      <c r="B17" s="15" t="s">
        <v>54</v>
      </c>
    </row>
    <row r="18" spans="2:2" x14ac:dyDescent="0.35">
      <c r="B18" s="15" t="s">
        <v>55</v>
      </c>
    </row>
    <row r="19" spans="2:2" x14ac:dyDescent="0.35">
      <c r="B19" s="16" t="s">
        <v>40</v>
      </c>
    </row>
    <row r="20" spans="2:2" x14ac:dyDescent="0.35">
      <c r="B20" s="12"/>
    </row>
    <row r="21" spans="2:2" x14ac:dyDescent="0.35">
      <c r="B21" s="13" t="s">
        <v>64</v>
      </c>
    </row>
    <row r="22" spans="2:2" x14ac:dyDescent="0.35">
      <c r="B22" s="12"/>
    </row>
    <row r="23" spans="2:2" x14ac:dyDescent="0.35">
      <c r="B23" s="12"/>
    </row>
    <row r="24" spans="2:2" x14ac:dyDescent="0.35">
      <c r="B24" s="16" t="s">
        <v>41</v>
      </c>
    </row>
    <row r="25" spans="2:2" x14ac:dyDescent="0.35">
      <c r="B25" s="15" t="s">
        <v>56</v>
      </c>
    </row>
    <row r="26" spans="2:2" x14ac:dyDescent="0.35">
      <c r="B26" s="15" t="s">
        <v>57</v>
      </c>
    </row>
    <row r="27" spans="2:2" x14ac:dyDescent="0.35">
      <c r="B27" s="15" t="s">
        <v>58</v>
      </c>
    </row>
    <row r="28" spans="2:2" x14ac:dyDescent="0.35">
      <c r="B28" s="12"/>
    </row>
    <row r="29" spans="2:2" x14ac:dyDescent="0.35">
      <c r="B29" s="13" t="s">
        <v>65</v>
      </c>
    </row>
    <row r="30" spans="2:2" x14ac:dyDescent="0.35">
      <c r="B30" s="12"/>
    </row>
    <row r="31" spans="2:2" x14ac:dyDescent="0.35">
      <c r="B31" s="12"/>
    </row>
    <row r="32" spans="2:2" x14ac:dyDescent="0.35">
      <c r="B32" s="16" t="s">
        <v>42</v>
      </c>
    </row>
    <row r="33" spans="2:2" x14ac:dyDescent="0.35">
      <c r="B33" s="15" t="s">
        <v>59</v>
      </c>
    </row>
    <row r="34" spans="2:2" x14ac:dyDescent="0.35">
      <c r="B34" s="15" t="s">
        <v>60</v>
      </c>
    </row>
    <row r="35" spans="2:2" x14ac:dyDescent="0.35">
      <c r="B35" s="15" t="s">
        <v>61</v>
      </c>
    </row>
    <row r="36" spans="2:2" x14ac:dyDescent="0.35">
      <c r="B36" s="15" t="s">
        <v>66</v>
      </c>
    </row>
    <row r="37" spans="2:2" x14ac:dyDescent="0.35">
      <c r="B37" s="15" t="s">
        <v>62</v>
      </c>
    </row>
    <row r="38" spans="2:2" x14ac:dyDescent="0.35">
      <c r="B38" s="16" t="s">
        <v>43</v>
      </c>
    </row>
    <row r="40" spans="2:2" x14ac:dyDescent="0.35">
      <c r="B40" s="10" t="s">
        <v>44</v>
      </c>
    </row>
    <row r="42" spans="2:2" x14ac:dyDescent="0.35">
      <c r="B42" s="11" t="s">
        <v>45</v>
      </c>
    </row>
    <row r="43" spans="2:2" x14ac:dyDescent="0.35">
      <c r="B43" s="12"/>
    </row>
    <row r="44" spans="2:2" x14ac:dyDescent="0.35">
      <c r="B44" s="12" t="s">
        <v>67</v>
      </c>
    </row>
    <row r="45" spans="2:2" x14ac:dyDescent="0.35">
      <c r="B45" s="12" t="s">
        <v>68</v>
      </c>
    </row>
    <row r="46" spans="2:2" x14ac:dyDescent="0.35">
      <c r="B46" s="12" t="s">
        <v>46</v>
      </c>
    </row>
    <row r="47" spans="2:2" x14ac:dyDescent="0.35">
      <c r="B47" s="12" t="s">
        <v>69</v>
      </c>
    </row>
    <row r="48" spans="2:2" x14ac:dyDescent="0.35">
      <c r="B48" s="11" t="s">
        <v>70</v>
      </c>
    </row>
    <row r="49" spans="2:28" x14ac:dyDescent="0.35">
      <c r="B49" s="11" t="s">
        <v>78</v>
      </c>
    </row>
    <row r="50" spans="2:28" x14ac:dyDescent="0.35">
      <c r="B50" s="11" t="s">
        <v>79</v>
      </c>
    </row>
    <row r="52" spans="2:28" ht="42" x14ac:dyDescent="0.35">
      <c r="B52" s="17" t="s">
        <v>47</v>
      </c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</row>
    <row r="53" spans="2:28" x14ac:dyDescent="0.35"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</row>
    <row r="54" spans="2:28" x14ac:dyDescent="0.35"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153F-36DC-494A-B45C-68AB3FE2FA40}">
  <sheetPr codeName="Sheet1"/>
  <dimension ref="B2:C7"/>
  <sheetViews>
    <sheetView showGridLines="0" workbookViewId="0">
      <selection activeCell="C5" sqref="C5"/>
    </sheetView>
  </sheetViews>
  <sheetFormatPr defaultRowHeight="15" x14ac:dyDescent="0.25"/>
  <cols>
    <col min="2" max="2" width="21.140625" bestFit="1" customWidth="1"/>
    <col min="3" max="3" width="19.140625" customWidth="1"/>
  </cols>
  <sheetData>
    <row r="2" spans="2:3" x14ac:dyDescent="0.25">
      <c r="B2" s="2" t="s">
        <v>12</v>
      </c>
      <c r="C2" s="3"/>
    </row>
    <row r="3" spans="2:3" x14ac:dyDescent="0.25">
      <c r="B3" s="2" t="s">
        <v>13</v>
      </c>
      <c r="C3" s="4"/>
    </row>
    <row r="4" spans="2:3" x14ac:dyDescent="0.25">
      <c r="B4" s="2" t="s">
        <v>14</v>
      </c>
      <c r="C4" s="3" t="str">
        <f>_xlfn.IFNA(IF(C3="","",VLOOKUP(C3,empleados[],2,FALSE)),"")</f>
        <v/>
      </c>
    </row>
    <row r="5" spans="2:3" x14ac:dyDescent="0.25">
      <c r="B5" s="2" t="s">
        <v>31</v>
      </c>
      <c r="C5" s="5"/>
    </row>
    <row r="6" spans="2:3" x14ac:dyDescent="0.25">
      <c r="B6" s="2" t="s">
        <v>29</v>
      </c>
      <c r="C6" s="3"/>
    </row>
    <row r="7" spans="2:3" ht="42" customHeight="1" x14ac:dyDescent="0.25">
      <c r="B7" s="6" t="s">
        <v>32</v>
      </c>
      <c r="C7" s="7"/>
    </row>
  </sheetData>
  <dataValidations count="3">
    <dataValidation type="list" allowBlank="1" showInputMessage="1" showErrorMessage="1" sqref="C2" xr:uid="{EBA86ACD-7C3F-48C6-BF93-E745C41D4552}">
      <formula1>cuentas</formula1>
    </dataValidation>
    <dataValidation type="list" allowBlank="1" showInputMessage="1" showErrorMessage="1" sqref="C6" xr:uid="{AD9D1984-9438-471E-BAB4-A27148338239}">
      <formula1>tipo_correctivo</formula1>
    </dataValidation>
    <dataValidation type="list" allowBlank="1" showInputMessage="1" showErrorMessage="1" sqref="C3" xr:uid="{5E9C7F5F-1585-4020-8C61-982BEAEA06A5}">
      <formula1>empleado_id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2" r:id="rId3" name="Button 28">
              <controlPr defaultSize="0" print="0" autoFill="0" autoPict="0" macro="[0]!enviarCorreos">
                <anchor moveWithCells="1" sizeWithCells="1">
                  <from>
                    <xdr:col>5</xdr:col>
                    <xdr:colOff>9525</xdr:colOff>
                    <xdr:row>2</xdr:row>
                    <xdr:rowOff>66675</xdr:rowOff>
                  </from>
                  <to>
                    <xdr:col>7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852BD-46A9-4A70-B82C-4A1F22E14AD2}">
  <sheetPr codeName="Sheet2"/>
  <dimension ref="B2:J7"/>
  <sheetViews>
    <sheetView showGridLines="0" workbookViewId="0">
      <selection activeCell="D6" sqref="D6"/>
    </sheetView>
  </sheetViews>
  <sheetFormatPr defaultRowHeight="15" x14ac:dyDescent="0.25"/>
  <cols>
    <col min="2" max="2" width="9.28515625" bestFit="1" customWidth="1"/>
    <col min="3" max="3" width="40.140625" bestFit="1" customWidth="1"/>
    <col min="4" max="4" width="40.140625" customWidth="1"/>
    <col min="6" max="6" width="12.5703125" customWidth="1"/>
    <col min="7" max="7" width="12.7109375" bestFit="1" customWidth="1"/>
    <col min="8" max="8" width="18.28515625" bestFit="1" customWidth="1"/>
    <col min="9" max="9" width="13.140625" customWidth="1"/>
  </cols>
  <sheetData>
    <row r="2" spans="2:10" x14ac:dyDescent="0.25">
      <c r="B2" t="s">
        <v>0</v>
      </c>
      <c r="C2" t="s">
        <v>1</v>
      </c>
      <c r="D2" t="s">
        <v>71</v>
      </c>
      <c r="G2" t="s">
        <v>15</v>
      </c>
      <c r="H2" t="s">
        <v>16</v>
      </c>
      <c r="J2" t="s">
        <v>33</v>
      </c>
    </row>
    <row r="3" spans="2:10" x14ac:dyDescent="0.25">
      <c r="B3" t="s">
        <v>2</v>
      </c>
      <c r="C3" t="s">
        <v>3</v>
      </c>
      <c r="D3" t="s">
        <v>72</v>
      </c>
      <c r="G3" s="1" t="s">
        <v>22</v>
      </c>
      <c r="H3" t="s">
        <v>17</v>
      </c>
      <c r="J3" t="s">
        <v>34</v>
      </c>
    </row>
    <row r="4" spans="2:10" x14ac:dyDescent="0.25">
      <c r="B4" t="s">
        <v>4</v>
      </c>
      <c r="C4" t="s">
        <v>8</v>
      </c>
      <c r="D4" t="s">
        <v>73</v>
      </c>
      <c r="G4" s="1" t="s">
        <v>23</v>
      </c>
      <c r="H4" t="s">
        <v>18</v>
      </c>
      <c r="J4" t="s">
        <v>35</v>
      </c>
    </row>
    <row r="5" spans="2:10" x14ac:dyDescent="0.25">
      <c r="B5" t="s">
        <v>5</v>
      </c>
      <c r="C5" t="s">
        <v>9</v>
      </c>
      <c r="D5" t="s">
        <v>74</v>
      </c>
      <c r="G5" s="1" t="s">
        <v>24</v>
      </c>
      <c r="H5" t="s">
        <v>19</v>
      </c>
      <c r="J5" t="s">
        <v>36</v>
      </c>
    </row>
    <row r="6" spans="2:10" x14ac:dyDescent="0.25">
      <c r="B6" t="s">
        <v>6</v>
      </c>
      <c r="C6" t="s">
        <v>10</v>
      </c>
      <c r="D6" t="s">
        <v>75</v>
      </c>
      <c r="G6" s="1" t="s">
        <v>25</v>
      </c>
      <c r="H6" t="s">
        <v>20</v>
      </c>
      <c r="J6" t="s">
        <v>37</v>
      </c>
    </row>
    <row r="7" spans="2:10" x14ac:dyDescent="0.25">
      <c r="B7" t="s">
        <v>7</v>
      </c>
      <c r="C7" t="s">
        <v>11</v>
      </c>
      <c r="D7" t="s">
        <v>76</v>
      </c>
      <c r="G7" s="1" t="s">
        <v>26</v>
      </c>
      <c r="H7" t="s">
        <v>21</v>
      </c>
    </row>
  </sheetData>
  <phoneticPr fontId="2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1867C-0015-4561-AD0A-C290C9F8B768}">
  <sheetPr codeName="Sheet3"/>
  <dimension ref="C2:G3"/>
  <sheetViews>
    <sheetView showGridLines="0" workbookViewId="0">
      <selection activeCell="C3" sqref="C3"/>
    </sheetView>
  </sheetViews>
  <sheetFormatPr defaultRowHeight="15" x14ac:dyDescent="0.25"/>
  <cols>
    <col min="3" max="3" width="7.42578125" bestFit="1" customWidth="1"/>
    <col min="4" max="4" width="13.28515625" bestFit="1" customWidth="1"/>
    <col min="5" max="5" width="22" bestFit="1" customWidth="1"/>
    <col min="6" max="6" width="18.5703125" bestFit="1" customWidth="1"/>
    <col min="7" max="7" width="11.7109375" bestFit="1" customWidth="1"/>
  </cols>
  <sheetData>
    <row r="2" spans="3:7" x14ac:dyDescent="0.25">
      <c r="C2" s="8" t="s">
        <v>27</v>
      </c>
      <c r="D2" s="8" t="s">
        <v>28</v>
      </c>
      <c r="E2" s="8" t="s">
        <v>29</v>
      </c>
      <c r="F2" s="8" t="s">
        <v>30</v>
      </c>
      <c r="G2" s="8" t="s">
        <v>31</v>
      </c>
    </row>
    <row r="3" spans="3:7" x14ac:dyDescent="0.25">
      <c r="C3" s="8">
        <f>modelo!C3</f>
        <v>0</v>
      </c>
      <c r="D3" s="8" t="str">
        <f>modelo!C4</f>
        <v/>
      </c>
      <c r="E3" s="8">
        <f>modelo!C6</f>
        <v>0</v>
      </c>
      <c r="F3" s="8">
        <f>modelo!C7</f>
        <v>0</v>
      </c>
      <c r="G3" s="9">
        <f>modelo!C5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Intro</vt:lpstr>
      <vt:lpstr>modelo</vt:lpstr>
      <vt:lpstr>registros</vt:lpstr>
      <vt:lpstr>tablacorrectivo</vt:lpstr>
      <vt:lpstr>cuentas</vt:lpstr>
      <vt:lpstr>empleado_id</vt:lpstr>
      <vt:lpstr>tipo_correctivo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 Antonio Chamorro Medina</dc:creator>
  <cp:lastModifiedBy>Roger Antonio Chamorro Medina</cp:lastModifiedBy>
  <dcterms:created xsi:type="dcterms:W3CDTF">2024-09-18T19:25:44Z</dcterms:created>
  <dcterms:modified xsi:type="dcterms:W3CDTF">2024-09-19T03:16:06Z</dcterms:modified>
</cp:coreProperties>
</file>